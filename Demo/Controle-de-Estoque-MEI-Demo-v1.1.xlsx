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Movimentação" sheetId="2" state="visible" r:id="rId2"/>
    <sheet xmlns:r="http://schemas.openxmlformats.org/officeDocument/2006/relationships" name="Dashboard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[$R$-416]\ * #,##0.00_-;\-[$R$-416]\ * #,##0.00_-;_-[$R$-416]\ * &quot;-&quot;??_-;_-@_-"/>
    <numFmt numFmtId="165" formatCode="0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trike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9" tint="-0.249977111117893"/>
        </patternFill>
      </fill>
      <alignment horizontal="left" vertical="bottom"/>
    </dxf>
    <dxf>
      <numFmt numFmtId="164" formatCode="_-[$R$-416]\ * #,##0.00_-;\-[$R$-416]\ * #,##0.00_-;_-[$R$-416]\ * &quot;-&quot;??_-;_-@_-"/>
    </dxf>
    <dxf>
      <numFmt numFmtId="0" formatCode="General"/>
    </dxf>
    <dxf>
      <numFmt numFmtId="164" formatCode="_-[$R$-416]\ * #,##0.00_-;\-[$R$-416]\ * #,##0.00_-;_-[$R$-416]\ * &quot;-&quot;??_-;_-@_-"/>
    </dxf>
    <dxf>
      <numFmt numFmtId="0" formatCode="General"/>
    </dxf>
    <dxf>
      <numFmt numFmtId="165" formatCode="000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1" displayName="Tabela1" ref="A1:J110" headerRowCount="1" totalsRowShown="0" headerRowDxfId="8">
  <autoFilter ref="A1:J110"/>
  <sortState ref="A2:J31">
    <sortCondition ref="A1:A31"/>
  </sortState>
  <tableColumns count="10">
    <tableColumn id="1" name="ID" dataDxfId="7">
      <calculatedColumnFormula>ROW() - ROW(Tabela1[[#Headers],[ID]])</calculatedColumnFormula>
    </tableColumn>
    <tableColumn id="2" name="Produto"/>
    <tableColumn id="3" name="Categoria"/>
    <tableColumn id="4" name="Subcategoria"/>
    <tableColumn id="5" name="Estoque inicial"/>
    <tableColumn id="10" name="Estoque Atual" dataDxfId="6">
      <calculatedColumnFormula>E2+SUMIFS(Movimentação!$D:$D,Movimentação!$B:$B,B2,Movimentação!$C:$C,"Entrada")-SUMIFS(Movimentação!$D:$D,Movimentação!$B:$B,B2,Movimentação!$C:$C,"Saída")</calculatedColumnFormula>
    </tableColumn>
    <tableColumn id="6" name="Preço" dataDxfId="5"/>
    <tableColumn id="7" name="Estoque Mínimo"/>
    <tableColumn id="8" name="Status" dataDxfId="4">
      <calculatedColumnFormula>IF(F2&lt;=H2,"ATENÇÃO","OK")</calculatedColumnFormula>
    </tableColumn>
    <tableColumn id="12" name="Valor em estoque" dataDxfId="3">
      <calculatedColumnFormula>F2*G2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3" displayName="Tabela3" ref="A1:D22" headerRowCount="1" totalsRowShown="0" headerRowDxfId="2">
  <autoFilter ref="A1:D22"/>
  <tableColumns count="4">
    <tableColumn id="1" name="Data" dataDxfId="1"/>
    <tableColumn id="2" name="Produto"/>
    <tableColumn id="3" name="Tipo"/>
    <tableColumn id="4" name="Quantidad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selection activeCell="M6" sqref="M6"/>
    </sheetView>
  </sheetViews>
  <sheetFormatPr baseColWidth="8" defaultRowHeight="15"/>
  <cols>
    <col width="5" bestFit="1" customWidth="1" style="3" min="1" max="1"/>
    <col width="27.140625" bestFit="1" customWidth="1" style="13" min="2" max="2"/>
    <col width="12.42578125" bestFit="1" customWidth="1" style="13" min="3" max="3"/>
    <col width="14.7109375" bestFit="1" customWidth="1" style="13" min="4" max="4"/>
    <col width="16" bestFit="1" customWidth="1" style="13" min="5" max="5"/>
    <col width="15.5703125" customWidth="1" style="13" min="6" max="6"/>
    <col width="10.5703125" bestFit="1" customWidth="1" style="2" min="7" max="7"/>
    <col width="17.7109375" bestFit="1" customWidth="1" style="13" min="8" max="8"/>
    <col width="19.85546875" bestFit="1" customWidth="1" style="2" min="10" max="10"/>
  </cols>
  <sheetData>
    <row r="1">
      <c r="A1" s="7" t="inlineStr">
        <is>
          <t>ID</t>
        </is>
      </c>
      <c r="B1" s="8" t="inlineStr">
        <is>
          <t>Produto</t>
        </is>
      </c>
      <c r="C1" s="8" t="inlineStr">
        <is>
          <t>Categoria</t>
        </is>
      </c>
      <c r="D1" s="8" t="inlineStr">
        <is>
          <t>Subcategoria</t>
        </is>
      </c>
      <c r="E1" s="8" t="inlineStr">
        <is>
          <t>Estoque inicial</t>
        </is>
      </c>
      <c r="F1" s="9" t="inlineStr">
        <is>
          <t>Estoque Atual</t>
        </is>
      </c>
      <c r="G1" s="10" t="inlineStr">
        <is>
          <t>Preço</t>
        </is>
      </c>
      <c r="H1" s="8" t="inlineStr">
        <is>
          <t>Estoque Mínimo</t>
        </is>
      </c>
      <c r="I1" s="8" t="inlineStr">
        <is>
          <t>Status</t>
        </is>
      </c>
      <c r="J1" s="10" t="inlineStr">
        <is>
          <t>Valor em estoque</t>
        </is>
      </c>
    </row>
    <row r="2">
      <c r="A2" s="3" t="n">
        <v>1</v>
      </c>
      <c r="B2" t="inlineStr">
        <is>
          <t>Coca-Cola Lata</t>
        </is>
      </c>
      <c r="C2" t="inlineStr">
        <is>
          <t>Refrigerantes</t>
        </is>
      </c>
      <c r="D2" t="inlineStr">
        <is>
          <t>Latas</t>
        </is>
      </c>
      <c r="E2" t="n">
        <v>32</v>
      </c>
      <c r="F2" t="n">
        <v>8</v>
      </c>
      <c r="G2" s="2" t="n">
        <v>6</v>
      </c>
      <c r="H2" t="n">
        <v>10</v>
      </c>
      <c r="I2">
        <f>IF(F2&lt;=H2,"ATENÇÃO","OK")</f>
        <v/>
      </c>
      <c r="J2" s="2">
        <f>F2*G2</f>
        <v/>
      </c>
    </row>
    <row r="3">
      <c r="A3" s="3" t="n">
        <v>2</v>
      </c>
      <c r="B3" t="inlineStr">
        <is>
          <t>Coca-Cola Zero Lata</t>
        </is>
      </c>
      <c r="C3" t="inlineStr">
        <is>
          <t>Refrigerantes</t>
        </is>
      </c>
      <c r="D3" t="inlineStr">
        <is>
          <t>Latas</t>
        </is>
      </c>
      <c r="E3" t="n">
        <v>18</v>
      </c>
      <c r="F3" t="n">
        <v>8</v>
      </c>
      <c r="G3" s="2" t="n">
        <v>6</v>
      </c>
      <c r="H3" t="n">
        <v>3</v>
      </c>
      <c r="I3">
        <f>IF(F3&lt;=H3,"ATENÇÃO","OK")</f>
        <v/>
      </c>
      <c r="J3" s="2">
        <f>F3*G3</f>
        <v/>
      </c>
    </row>
    <row r="4">
      <c r="A4" s="3" t="n">
        <v>3</v>
      </c>
      <c r="B4" t="inlineStr">
        <is>
          <t>Guaraná Antarctica Lata</t>
        </is>
      </c>
      <c r="C4" t="inlineStr">
        <is>
          <t>Refrigerantes</t>
        </is>
      </c>
      <c r="D4" t="inlineStr">
        <is>
          <t>Latas</t>
        </is>
      </c>
      <c r="E4" t="n">
        <v>25</v>
      </c>
      <c r="F4" t="n">
        <v>8</v>
      </c>
      <c r="G4" s="2" t="n">
        <v>5.5</v>
      </c>
      <c r="H4" t="n">
        <v>1</v>
      </c>
      <c r="I4">
        <f>IF(F4&lt;=H4,"ATENÇÃO","OK")</f>
        <v/>
      </c>
      <c r="J4" s="2">
        <f>F4*G4</f>
        <v/>
      </c>
    </row>
    <row r="5">
      <c r="A5" s="3" t="n">
        <v>4</v>
      </c>
      <c r="B5" t="inlineStr">
        <is>
          <t>Fanta Laranja Lata</t>
        </is>
      </c>
      <c r="C5" t="inlineStr">
        <is>
          <t>Refrigerantes</t>
        </is>
      </c>
      <c r="D5" t="inlineStr">
        <is>
          <t>Latas</t>
        </is>
      </c>
      <c r="E5" t="n">
        <v>20</v>
      </c>
      <c r="F5" t="n">
        <v>8</v>
      </c>
      <c r="G5" s="2" t="n">
        <v>5.5</v>
      </c>
      <c r="H5" t="n">
        <v>5</v>
      </c>
      <c r="I5">
        <f>IF(F5&lt;=H5,"ATENÇÃO","OK")</f>
        <v/>
      </c>
      <c r="J5" s="2">
        <f>F5*G5</f>
        <v/>
      </c>
    </row>
    <row r="6">
      <c r="A6" s="3" t="n">
        <v>5</v>
      </c>
      <c r="B6" t="inlineStr">
        <is>
          <t>Sprite Lata</t>
        </is>
      </c>
      <c r="C6" t="inlineStr">
        <is>
          <t>Refrigerantes</t>
        </is>
      </c>
      <c r="D6" t="inlineStr">
        <is>
          <t>Latas</t>
        </is>
      </c>
      <c r="E6" t="n">
        <v>15</v>
      </c>
      <c r="F6" t="n">
        <v>8</v>
      </c>
      <c r="G6" s="2" t="n">
        <v>5.5</v>
      </c>
      <c r="H6" t="n">
        <v>5</v>
      </c>
      <c r="I6">
        <f>IF(F6&lt;=H6,"ATENÇÃO","OK")</f>
        <v/>
      </c>
      <c r="J6" s="2">
        <f>F6*G6</f>
        <v/>
      </c>
    </row>
    <row r="7">
      <c r="A7" s="3" t="n">
        <v>6</v>
      </c>
      <c r="B7" t="inlineStr">
        <is>
          <t>Água Mineral 500ml</t>
        </is>
      </c>
      <c r="C7" t="inlineStr">
        <is>
          <t>Águas</t>
        </is>
      </c>
      <c r="D7" t="inlineStr">
        <is>
          <t>Sem Gás</t>
        </is>
      </c>
      <c r="E7" t="n">
        <v>40</v>
      </c>
      <c r="F7" t="n">
        <v>10</v>
      </c>
      <c r="G7" s="2" t="n">
        <v>3</v>
      </c>
      <c r="H7" t="n">
        <v>1</v>
      </c>
      <c r="I7">
        <f>IF(F7&lt;=H7,"ATENÇÃO","OK")</f>
        <v/>
      </c>
      <c r="J7" s="2">
        <f>F7*G7</f>
        <v/>
      </c>
    </row>
    <row r="8">
      <c r="A8" s="3" t="n">
        <v>7</v>
      </c>
      <c r="B8" t="inlineStr">
        <is>
          <t>Água com Gás 500ml</t>
        </is>
      </c>
      <c r="C8" t="inlineStr">
        <is>
          <t>Águas</t>
        </is>
      </c>
      <c r="D8" t="inlineStr">
        <is>
          <t>Com Gás</t>
        </is>
      </c>
      <c r="E8" t="n">
        <v>18</v>
      </c>
      <c r="F8" t="n">
        <v>8</v>
      </c>
      <c r="G8" s="2" t="n">
        <v>3.5</v>
      </c>
      <c r="H8" t="n">
        <v>5</v>
      </c>
      <c r="I8">
        <f>IF(F8&lt;=H8,"ATENÇÃO","OK")</f>
        <v/>
      </c>
      <c r="J8" s="2">
        <f>F8*G8</f>
        <v/>
      </c>
    </row>
    <row r="9">
      <c r="A9" s="3" t="n">
        <v>8</v>
      </c>
      <c r="B9" t="inlineStr">
        <is>
          <t>Suco Del Valle Lata</t>
        </is>
      </c>
      <c r="C9" t="inlineStr">
        <is>
          <t>Sucos</t>
        </is>
      </c>
      <c r="D9" t="inlineStr">
        <is>
          <t>Latas</t>
        </is>
      </c>
      <c r="E9" t="n">
        <v>12</v>
      </c>
      <c r="F9" t="n">
        <v>5</v>
      </c>
      <c r="G9" s="2" t="n">
        <v>6.5</v>
      </c>
      <c r="H9" t="n">
        <v>1</v>
      </c>
      <c r="I9">
        <f>IF(F9&lt;=H9,"ATENÇÃO","OK")</f>
        <v/>
      </c>
      <c r="J9" s="2">
        <f>F9*G9</f>
        <v/>
      </c>
    </row>
    <row r="10">
      <c r="A10" s="3" t="n">
        <v>9</v>
      </c>
      <c r="B10" t="inlineStr">
        <is>
          <t>Monster Energy</t>
        </is>
      </c>
      <c r="C10" t="inlineStr">
        <is>
          <t>Energéticos</t>
        </is>
      </c>
      <c r="D10" t="inlineStr">
        <is>
          <t>Latas</t>
        </is>
      </c>
      <c r="E10" t="n">
        <v>20</v>
      </c>
      <c r="F10" t="n">
        <v>8</v>
      </c>
      <c r="G10" s="2" t="n">
        <v>14</v>
      </c>
      <c r="H10" t="n">
        <v>1</v>
      </c>
      <c r="I10">
        <f>IF(F10&lt;=H10,"ATENÇÃO","OK")</f>
        <v/>
      </c>
      <c r="J10" s="2">
        <f>F10*G10</f>
        <v/>
      </c>
    </row>
    <row r="11">
      <c r="A11" s="3" t="n">
        <v>10</v>
      </c>
      <c r="B11" t="inlineStr">
        <is>
          <t>Red Bull</t>
        </is>
      </c>
      <c r="C11" t="inlineStr">
        <is>
          <t>Energéticos</t>
        </is>
      </c>
      <c r="D11" t="inlineStr">
        <is>
          <t>Latas</t>
        </is>
      </c>
      <c r="E11" t="n">
        <v>16</v>
      </c>
      <c r="F11" t="n">
        <v>6</v>
      </c>
      <c r="G11" s="2" t="n">
        <v>12</v>
      </c>
      <c r="H11" t="n">
        <v>3</v>
      </c>
      <c r="I11">
        <f>IF(F11&lt;=H11,"ATENÇÃO","OK")</f>
        <v/>
      </c>
      <c r="J11" s="2">
        <f>F11*G11</f>
        <v/>
      </c>
    </row>
    <row r="12">
      <c r="A12" s="3" t="n">
        <v>11</v>
      </c>
      <c r="B12" t="inlineStr">
        <is>
          <t>Heineken Long Neck</t>
        </is>
      </c>
      <c r="C12" t="inlineStr">
        <is>
          <t>Cervejas</t>
        </is>
      </c>
      <c r="D12" t="inlineStr">
        <is>
          <t>Long Neck</t>
        </is>
      </c>
      <c r="E12" t="n">
        <v>24</v>
      </c>
      <c r="F12" t="n">
        <v>8</v>
      </c>
      <c r="G12" s="2" t="n">
        <v>9</v>
      </c>
      <c r="H12" t="n">
        <v>3</v>
      </c>
      <c r="I12">
        <f>IF(F12&lt;=H12,"ATENÇÃO","OK")</f>
        <v/>
      </c>
      <c r="J12" s="2">
        <f>F12*G12</f>
        <v/>
      </c>
    </row>
    <row r="13">
      <c r="A13" s="3" t="n">
        <v>12</v>
      </c>
      <c r="B13" t="inlineStr">
        <is>
          <t>Corona Long Neck</t>
        </is>
      </c>
      <c r="C13" t="inlineStr">
        <is>
          <t>Cervejas</t>
        </is>
      </c>
      <c r="D13" t="inlineStr">
        <is>
          <t>Long Neck</t>
        </is>
      </c>
      <c r="E13" t="n">
        <v>18</v>
      </c>
      <c r="F13" t="n">
        <v>6</v>
      </c>
      <c r="G13" s="2" t="n">
        <v>10</v>
      </c>
      <c r="H13" t="n">
        <v>1</v>
      </c>
      <c r="I13">
        <f>IF(F13&lt;=H13,"ATENÇÃO","OK")</f>
        <v/>
      </c>
      <c r="J13" s="2">
        <f>F13*G13</f>
        <v/>
      </c>
    </row>
    <row r="14">
      <c r="A14" s="3" t="n">
        <v>13</v>
      </c>
      <c r="B14" t="inlineStr">
        <is>
          <t>Budweiser Long Neck</t>
        </is>
      </c>
      <c r="C14" t="inlineStr">
        <is>
          <t>Cervejas</t>
        </is>
      </c>
      <c r="D14" t="inlineStr">
        <is>
          <t>Long Neck</t>
        </is>
      </c>
      <c r="E14" t="n">
        <v>20</v>
      </c>
      <c r="F14" t="n">
        <v>6</v>
      </c>
      <c r="G14" s="2" t="n">
        <v>8.5</v>
      </c>
      <c r="H14" t="n">
        <v>5</v>
      </c>
      <c r="I14">
        <f>IF(F14&lt;=H14,"ATENÇÃO","OK")</f>
        <v/>
      </c>
      <c r="J14" s="2">
        <f>F14*G14</f>
        <v/>
      </c>
    </row>
    <row r="15">
      <c r="A15" s="3" t="n">
        <v>14</v>
      </c>
      <c r="B15" t="inlineStr">
        <is>
          <t>Stella Artois Long Neck</t>
        </is>
      </c>
      <c r="C15" t="inlineStr">
        <is>
          <t>Cervejas</t>
        </is>
      </c>
      <c r="D15" t="inlineStr">
        <is>
          <t>Long Neck</t>
        </is>
      </c>
      <c r="E15" t="n">
        <v>16</v>
      </c>
      <c r="F15" t="n">
        <v>6</v>
      </c>
      <c r="G15" s="2" t="n">
        <v>9.5</v>
      </c>
      <c r="H15" t="n">
        <v>10</v>
      </c>
      <c r="I15">
        <f>IF(F15&lt;=H15,"ATENÇÃO","OK")</f>
        <v/>
      </c>
      <c r="J15" s="2">
        <f>F15*G15</f>
        <v/>
      </c>
    </row>
    <row r="16">
      <c r="A16" s="3" t="n">
        <v>15</v>
      </c>
      <c r="B16" t="inlineStr">
        <is>
          <t>Skol Lata</t>
        </is>
      </c>
      <c r="C16" t="inlineStr">
        <is>
          <t>Cervejas</t>
        </is>
      </c>
      <c r="D16" t="inlineStr">
        <is>
          <t>Latas</t>
        </is>
      </c>
      <c r="E16" t="n">
        <v>30</v>
      </c>
      <c r="F16" t="n">
        <v>10</v>
      </c>
      <c r="G16" s="2" t="n">
        <v>5.5</v>
      </c>
      <c r="H16" t="n">
        <v>20</v>
      </c>
      <c r="I16">
        <f>IF(F16&lt;=H16,"ATENÇÃO","OK")</f>
        <v/>
      </c>
      <c r="J16" s="2">
        <f>F16*G16</f>
        <v/>
      </c>
    </row>
    <row r="17">
      <c r="A17" s="3" t="n">
        <v>16</v>
      </c>
      <c r="B17" t="inlineStr">
        <is>
          <t>Brahma Lata</t>
        </is>
      </c>
      <c r="C17" t="inlineStr">
        <is>
          <t>Cervejas</t>
        </is>
      </c>
      <c r="D17" t="inlineStr">
        <is>
          <t>Latas</t>
        </is>
      </c>
      <c r="E17" t="n">
        <v>26</v>
      </c>
      <c r="F17" t="n">
        <v>10</v>
      </c>
      <c r="G17" s="2" t="n">
        <v>5.5</v>
      </c>
      <c r="H17" t="n">
        <v>15</v>
      </c>
      <c r="I17">
        <f>IF(F17&lt;=H17,"ATENÇÃO","OK")</f>
        <v/>
      </c>
      <c r="J17" s="2">
        <f>F17*G17</f>
        <v/>
      </c>
    </row>
    <row r="18">
      <c r="A18" s="3" t="n">
        <v>17</v>
      </c>
      <c r="B18" t="inlineStr">
        <is>
          <t>Original Lata</t>
        </is>
      </c>
      <c r="C18" t="inlineStr">
        <is>
          <t>Cervejas</t>
        </is>
      </c>
      <c r="D18" t="inlineStr">
        <is>
          <t>Latas</t>
        </is>
      </c>
      <c r="E18" t="n">
        <v>20</v>
      </c>
      <c r="F18" t="n">
        <v>8</v>
      </c>
      <c r="G18" s="2" t="n">
        <v>7</v>
      </c>
      <c r="H18" t="n">
        <v>3</v>
      </c>
      <c r="I18">
        <f>IF(F18&lt;=H18,"ATENÇÃO","OK")</f>
        <v/>
      </c>
      <c r="J18" s="2">
        <f>F18*G18</f>
        <v/>
      </c>
    </row>
    <row r="19">
      <c r="A19" s="3" t="n">
        <v>18</v>
      </c>
      <c r="B19" t="inlineStr">
        <is>
          <t>Spaten Lata</t>
        </is>
      </c>
      <c r="C19" t="inlineStr">
        <is>
          <t>Cervejas</t>
        </is>
      </c>
      <c r="D19" t="inlineStr">
        <is>
          <t>Latas</t>
        </is>
      </c>
      <c r="E19" t="n">
        <v>18</v>
      </c>
      <c r="F19" t="n">
        <v>8</v>
      </c>
      <c r="G19" s="2" t="n">
        <v>6.5</v>
      </c>
      <c r="H19" t="n">
        <v>5</v>
      </c>
      <c r="I19">
        <f>IF(F19&lt;=H19,"ATENÇÃO","OK")</f>
        <v/>
      </c>
      <c r="J19" s="2">
        <f>F19*G19</f>
        <v/>
      </c>
    </row>
    <row r="20">
      <c r="A20" s="3" t="n">
        <v>19</v>
      </c>
      <c r="B20" t="inlineStr">
        <is>
          <t>Smirnoff Ice</t>
        </is>
      </c>
      <c r="C20" t="inlineStr">
        <is>
          <t>Bebidas Ice</t>
        </is>
      </c>
      <c r="D20" t="inlineStr">
        <is>
          <t>Long Neck</t>
        </is>
      </c>
      <c r="E20" t="n">
        <v>14</v>
      </c>
      <c r="F20" t="n">
        <v>5</v>
      </c>
      <c r="G20" s="2" t="n">
        <v>10</v>
      </c>
      <c r="H20" t="n">
        <v>1</v>
      </c>
      <c r="I20">
        <f>IF(F20&lt;=H20,"ATENÇÃO","OK")</f>
        <v/>
      </c>
      <c r="J20" s="2">
        <f>F20*G20</f>
        <v/>
      </c>
    </row>
    <row r="21">
      <c r="A21" s="3" t="n">
        <v>20</v>
      </c>
      <c r="B21" t="inlineStr">
        <is>
          <t>Beats</t>
        </is>
      </c>
      <c r="C21" t="inlineStr">
        <is>
          <t>Bebidas Ice</t>
        </is>
      </c>
      <c r="D21" t="inlineStr">
        <is>
          <t>Long Neck</t>
        </is>
      </c>
      <c r="E21" t="n">
        <v>18</v>
      </c>
      <c r="F21" t="n">
        <v>6</v>
      </c>
      <c r="G21" s="2" t="n">
        <v>10</v>
      </c>
      <c r="H21" t="n">
        <v>3</v>
      </c>
      <c r="I21">
        <f>IF(F21&lt;=H21,"ATENÇÃO","OK")</f>
        <v/>
      </c>
      <c r="J21" s="2">
        <f>F21*G21</f>
        <v/>
      </c>
    </row>
    <row r="22">
      <c r="A22" s="3" t="n">
        <v>21</v>
      </c>
      <c r="B22" t="inlineStr">
        <is>
          <t>Jack Daniel's Dose</t>
        </is>
      </c>
      <c r="C22" t="inlineStr">
        <is>
          <t>Destilados</t>
        </is>
      </c>
      <c r="D22" t="inlineStr">
        <is>
          <t>Dose</t>
        </is>
      </c>
      <c r="E22" t="n">
        <v>40</v>
      </c>
      <c r="F22" t="n">
        <v>15</v>
      </c>
      <c r="G22" s="2" t="n">
        <v>15</v>
      </c>
      <c r="H22" t="n">
        <v>3</v>
      </c>
      <c r="I22">
        <f>IF(F22&lt;=H22,"ATENÇÃO","OK")</f>
        <v/>
      </c>
      <c r="J22" s="2">
        <f>F22*G22</f>
        <v/>
      </c>
    </row>
    <row r="23">
      <c r="A23" s="3" t="n">
        <v>22</v>
      </c>
      <c r="B23" t="inlineStr">
        <is>
          <t>Red Label Dose</t>
        </is>
      </c>
      <c r="C23" t="inlineStr">
        <is>
          <t>Destilados</t>
        </is>
      </c>
      <c r="D23" t="inlineStr">
        <is>
          <t>Dose</t>
        </is>
      </c>
      <c r="E23" t="n">
        <v>20</v>
      </c>
      <c r="F23" t="n">
        <v>8</v>
      </c>
      <c r="G23" s="2" t="n">
        <v>12</v>
      </c>
      <c r="H23" t="n">
        <v>5</v>
      </c>
      <c r="I23">
        <f>IF(F23&lt;=H23,"ATENÇÃO","OK")</f>
        <v/>
      </c>
      <c r="J23" s="2">
        <f>F23*G23</f>
        <v/>
      </c>
    </row>
    <row r="24">
      <c r="A24" s="3" t="n">
        <v>23</v>
      </c>
      <c r="B24" t="inlineStr">
        <is>
          <t>Black Label Dose</t>
        </is>
      </c>
      <c r="C24" t="inlineStr">
        <is>
          <t>Destilados</t>
        </is>
      </c>
      <c r="D24" t="inlineStr">
        <is>
          <t>Dose</t>
        </is>
      </c>
      <c r="E24" t="n">
        <v>18</v>
      </c>
      <c r="F24" t="n">
        <v>6</v>
      </c>
      <c r="G24" s="2" t="n">
        <v>20</v>
      </c>
      <c r="H24" t="n">
        <v>5</v>
      </c>
      <c r="I24">
        <f>IF(F24&lt;=H24,"ATENÇÃO","OK")</f>
        <v/>
      </c>
      <c r="J24" s="2">
        <f>F24*G24</f>
        <v/>
      </c>
    </row>
    <row r="25">
      <c r="A25" s="3" t="n">
        <v>24</v>
      </c>
      <c r="B25" t="inlineStr">
        <is>
          <t>Absolut Dose</t>
        </is>
      </c>
      <c r="C25" t="inlineStr">
        <is>
          <t>Destilados</t>
        </is>
      </c>
      <c r="D25" t="inlineStr">
        <is>
          <t>Dose</t>
        </is>
      </c>
      <c r="E25" t="n">
        <v>24</v>
      </c>
      <c r="F25" t="n">
        <v>8</v>
      </c>
      <c r="G25" s="2" t="n">
        <v>12</v>
      </c>
      <c r="H25" t="n">
        <v>5</v>
      </c>
      <c r="I25">
        <f>IF(F25&lt;=H25,"ATENÇÃO","OK")</f>
        <v/>
      </c>
      <c r="J25" s="2">
        <f>F25*G25</f>
        <v/>
      </c>
    </row>
    <row r="26">
      <c r="A26" s="3" t="n">
        <v>25</v>
      </c>
      <c r="B26" t="inlineStr">
        <is>
          <t>Tanqueray Dose</t>
        </is>
      </c>
      <c r="C26" t="inlineStr">
        <is>
          <t>Destilados</t>
        </is>
      </c>
      <c r="D26" t="inlineStr">
        <is>
          <t>Dose</t>
        </is>
      </c>
      <c r="E26" t="n">
        <v>16</v>
      </c>
      <c r="F26" t="n">
        <v>6</v>
      </c>
      <c r="G26" s="2" t="n">
        <v>15</v>
      </c>
      <c r="H26" t="n">
        <v>3</v>
      </c>
      <c r="I26">
        <f>IF(F26&lt;=H26,"ATENÇÃO","OK")</f>
        <v/>
      </c>
      <c r="J26" s="2">
        <f>F26*G26</f>
        <v/>
      </c>
    </row>
    <row r="27">
      <c r="A27" s="3" t="n">
        <v>26</v>
      </c>
      <c r="B27" t="inlineStr">
        <is>
          <t>Campari Dose</t>
        </is>
      </c>
      <c r="C27" t="inlineStr">
        <is>
          <t>Destilados</t>
        </is>
      </c>
      <c r="D27" t="inlineStr">
        <is>
          <t>Dose</t>
        </is>
      </c>
      <c r="E27" t="n">
        <v>18</v>
      </c>
      <c r="F27" t="n">
        <v>6</v>
      </c>
      <c r="G27" s="2" t="n">
        <v>10</v>
      </c>
      <c r="H27" t="n">
        <v>3</v>
      </c>
      <c r="I27">
        <f>IF(F27&lt;=H27,"ATENÇÃO","OK")</f>
        <v/>
      </c>
      <c r="J27" s="2">
        <f>F27*G27</f>
        <v/>
      </c>
    </row>
    <row r="28">
      <c r="A28" s="3" t="n">
        <v>27</v>
      </c>
      <c r="B28" t="inlineStr">
        <is>
          <t>Aperol Dose</t>
        </is>
      </c>
      <c r="C28" t="inlineStr">
        <is>
          <t>Destilados</t>
        </is>
      </c>
      <c r="D28" t="inlineStr">
        <is>
          <t>Dose</t>
        </is>
      </c>
      <c r="E28" t="n">
        <v>15</v>
      </c>
      <c r="F28" t="n">
        <v>5</v>
      </c>
      <c r="G28" s="2" t="n">
        <v>10</v>
      </c>
      <c r="H28" t="n">
        <v>3</v>
      </c>
      <c r="I28">
        <f>IF(F28&lt;=H28,"ATENÇÃO","OK")</f>
        <v/>
      </c>
      <c r="J28" s="2">
        <f>F28*G28</f>
        <v/>
      </c>
    </row>
    <row r="29">
      <c r="A29" s="3" t="n">
        <v>28</v>
      </c>
      <c r="B29" t="inlineStr">
        <is>
          <t>Velho Barreiro Dose</t>
        </is>
      </c>
      <c r="C29" t="inlineStr">
        <is>
          <t>Destilados</t>
        </is>
      </c>
      <c r="D29" t="inlineStr">
        <is>
          <t>Dose</t>
        </is>
      </c>
      <c r="E29" t="n">
        <v>20</v>
      </c>
      <c r="F29" t="n">
        <v>8</v>
      </c>
      <c r="G29" s="2" t="n">
        <v>5</v>
      </c>
      <c r="H29" t="n">
        <v>3</v>
      </c>
      <c r="I29">
        <f>IF(F29&lt;=H29,"ATENÇÃO","OK")</f>
        <v/>
      </c>
      <c r="J29" s="2">
        <f>F29*G29</f>
        <v/>
      </c>
    </row>
    <row r="30">
      <c r="A30" s="3" t="n">
        <v>29</v>
      </c>
      <c r="B30" t="inlineStr">
        <is>
          <t>Doritos Queijo</t>
        </is>
      </c>
      <c r="C30" t="inlineStr">
        <is>
          <t>Salgadinhos</t>
        </is>
      </c>
      <c r="D30" t="inlineStr">
        <is>
          <t>Pacotes</t>
        </is>
      </c>
      <c r="E30" t="n">
        <v>18</v>
      </c>
      <c r="F30" t="n">
        <v>6</v>
      </c>
      <c r="G30" s="2" t="n">
        <v>6.5</v>
      </c>
      <c r="H30" t="n">
        <v>5</v>
      </c>
      <c r="I30">
        <f>IF(F30&lt;=H30,"ATENÇÃO","OK")</f>
        <v/>
      </c>
      <c r="J30" s="2">
        <f>F30*G30</f>
        <v/>
      </c>
    </row>
    <row r="31">
      <c r="A31" s="3" t="n">
        <v>30</v>
      </c>
      <c r="B31" t="inlineStr">
        <is>
          <t>Fandangos Presunto</t>
        </is>
      </c>
      <c r="C31" t="inlineStr">
        <is>
          <t>Salgadinhos</t>
        </is>
      </c>
      <c r="D31" t="inlineStr">
        <is>
          <t>Pacotes</t>
        </is>
      </c>
      <c r="E31" t="n">
        <v>20</v>
      </c>
      <c r="F31" t="n">
        <v>8</v>
      </c>
      <c r="G31" s="2" t="n">
        <v>5</v>
      </c>
      <c r="H31" t="n">
        <v>1</v>
      </c>
      <c r="I31">
        <f>IF(F31&lt;=H31,"ATENÇÃO","OK")</f>
        <v/>
      </c>
      <c r="J31" s="2">
        <f>F31*G31</f>
        <v/>
      </c>
    </row>
    <row r="32">
      <c r="A32" s="3" t="n">
        <v>31</v>
      </c>
      <c r="B32" t="inlineStr">
        <is>
          <t>Torcida Bacon</t>
        </is>
      </c>
      <c r="C32" t="inlineStr">
        <is>
          <t>Salgadinhos</t>
        </is>
      </c>
      <c r="D32" t="inlineStr">
        <is>
          <t>Pacotes</t>
        </is>
      </c>
      <c r="E32" t="n">
        <v>15</v>
      </c>
      <c r="F32" t="n">
        <v>5</v>
      </c>
      <c r="G32" s="2" t="n">
        <v>3.5</v>
      </c>
      <c r="H32" t="n">
        <v>1</v>
      </c>
      <c r="I32">
        <f>IF(F32&lt;=H32,"ATENÇÃO","OK")</f>
        <v/>
      </c>
      <c r="J32" s="2">
        <f>F32*G32</f>
        <v/>
      </c>
    </row>
    <row r="33">
      <c r="A33" s="3" t="n">
        <v>32</v>
      </c>
      <c r="B33" t="inlineStr">
        <is>
          <t>Cheetos Requeijão</t>
        </is>
      </c>
      <c r="C33" t="inlineStr">
        <is>
          <t>Salgadinhos</t>
        </is>
      </c>
      <c r="D33" t="inlineStr">
        <is>
          <t>Pacotes</t>
        </is>
      </c>
      <c r="E33" t="n">
        <v>18</v>
      </c>
      <c r="F33" t="n">
        <v>6</v>
      </c>
      <c r="G33" s="2" t="n">
        <v>5</v>
      </c>
      <c r="H33" t="n">
        <v>10</v>
      </c>
      <c r="I33">
        <f>IF(F33&lt;=H33,"ATENÇÃO","OK")</f>
        <v/>
      </c>
      <c r="J33" s="2">
        <f>F33*G33</f>
        <v/>
      </c>
    </row>
    <row r="34">
      <c r="A34" s="3" t="n">
        <v>33</v>
      </c>
      <c r="B34" t="inlineStr">
        <is>
          <t>Batata Chips</t>
        </is>
      </c>
      <c r="C34" t="inlineStr">
        <is>
          <t>Salgadinhos</t>
        </is>
      </c>
      <c r="D34" t="inlineStr">
        <is>
          <t>Pacotes</t>
        </is>
      </c>
      <c r="E34" t="n">
        <v>14</v>
      </c>
      <c r="F34" t="n">
        <v>5</v>
      </c>
      <c r="G34" s="2" t="n">
        <v>6</v>
      </c>
      <c r="H34" t="n">
        <v>3</v>
      </c>
      <c r="I34">
        <f>IF(F34&lt;=H34,"ATENÇÃO","OK")</f>
        <v/>
      </c>
      <c r="J34" s="2">
        <f>F34*G34</f>
        <v/>
      </c>
    </row>
    <row r="35">
      <c r="A35" s="3" t="n">
        <v>34</v>
      </c>
      <c r="B35" t="inlineStr">
        <is>
          <t>Amendoim Japonês</t>
        </is>
      </c>
      <c r="C35" t="inlineStr">
        <is>
          <t>Petiscos</t>
        </is>
      </c>
      <c r="D35" t="inlineStr">
        <is>
          <t>Pacotes</t>
        </is>
      </c>
      <c r="E35" t="n">
        <v>20</v>
      </c>
      <c r="F35" t="n">
        <v>8</v>
      </c>
      <c r="G35" s="2" t="n">
        <v>5.5</v>
      </c>
      <c r="H35" t="n">
        <v>3</v>
      </c>
      <c r="I35">
        <f>IF(F35&lt;=H35,"ATENÇÃO","OK")</f>
        <v/>
      </c>
      <c r="J35" s="2">
        <f>F35*G35</f>
        <v/>
      </c>
    </row>
    <row r="36">
      <c r="A36" s="3" t="n">
        <v>35</v>
      </c>
      <c r="B36" t="inlineStr">
        <is>
          <t>Salame Fatiado</t>
        </is>
      </c>
      <c r="C36" t="inlineStr">
        <is>
          <t>Petiscos</t>
        </is>
      </c>
      <c r="D36" t="inlineStr">
        <is>
          <t>Porções</t>
        </is>
      </c>
      <c r="E36" t="n">
        <v>12</v>
      </c>
      <c r="F36" t="n">
        <v>4</v>
      </c>
      <c r="G36" s="2" t="n">
        <v>24</v>
      </c>
      <c r="H36" t="n">
        <v>1</v>
      </c>
      <c r="I36">
        <f>IF(F36&lt;=H36,"ATENÇÃO","OK")</f>
        <v/>
      </c>
      <c r="J36" s="2">
        <f>F36*G36</f>
        <v/>
      </c>
    </row>
    <row r="37">
      <c r="A37" s="3" t="n">
        <v>36</v>
      </c>
      <c r="B37" t="inlineStr">
        <is>
          <t>Batata Frita</t>
        </is>
      </c>
      <c r="C37" t="inlineStr">
        <is>
          <t>Porções</t>
        </is>
      </c>
      <c r="D37" t="inlineStr">
        <is>
          <t>Cozinha</t>
        </is>
      </c>
      <c r="E37" t="n">
        <v>18</v>
      </c>
      <c r="F37" t="n">
        <v>6</v>
      </c>
      <c r="G37" s="2" t="n">
        <v>22</v>
      </c>
      <c r="H37" t="n">
        <v>5</v>
      </c>
      <c r="I37">
        <f>IF(F37&lt;=H37,"ATENÇÃO","OK")</f>
        <v/>
      </c>
      <c r="J37" s="2">
        <f>F37*G37</f>
        <v/>
      </c>
    </row>
    <row r="38">
      <c r="A38" s="3" t="n">
        <v>37</v>
      </c>
      <c r="B38" t="inlineStr">
        <is>
          <t>Frango à Passarinho</t>
        </is>
      </c>
      <c r="C38" t="inlineStr">
        <is>
          <t>Porções</t>
        </is>
      </c>
      <c r="D38" t="inlineStr">
        <is>
          <t>Cozinha</t>
        </is>
      </c>
      <c r="E38" t="n">
        <v>14</v>
      </c>
      <c r="F38" t="n">
        <v>5</v>
      </c>
      <c r="G38" s="2" t="n">
        <v>30</v>
      </c>
      <c r="H38" t="n">
        <v>5</v>
      </c>
      <c r="I38">
        <f>IF(F38&lt;=H38,"ATENÇÃO","OK")</f>
        <v/>
      </c>
      <c r="J38" s="2">
        <f>F38*G38</f>
        <v/>
      </c>
    </row>
    <row r="39">
      <c r="A39" s="3" t="n">
        <v>38</v>
      </c>
      <c r="B39" t="inlineStr">
        <is>
          <t>Anéis de Cebola</t>
        </is>
      </c>
      <c r="C39" t="inlineStr">
        <is>
          <t>Porções</t>
        </is>
      </c>
      <c r="D39" t="inlineStr">
        <is>
          <t>Cozinha</t>
        </is>
      </c>
      <c r="E39" t="n">
        <v>12</v>
      </c>
      <c r="F39" t="n">
        <v>4</v>
      </c>
      <c r="G39" s="2" t="n">
        <v>24</v>
      </c>
      <c r="H39" t="n">
        <v>8</v>
      </c>
      <c r="I39">
        <f>IF(F39&lt;=H39,"ATENÇÃO","OK")</f>
        <v/>
      </c>
      <c r="J39" s="2">
        <f>F39*G39</f>
        <v/>
      </c>
    </row>
    <row r="40">
      <c r="A40" s="3" t="n">
        <v>39</v>
      </c>
      <c r="B40" t="inlineStr">
        <is>
          <t>Polenta Frita</t>
        </is>
      </c>
      <c r="C40" t="inlineStr">
        <is>
          <t>Porções</t>
        </is>
      </c>
      <c r="D40" t="inlineStr">
        <is>
          <t>Cozinha</t>
        </is>
      </c>
      <c r="E40" t="n">
        <v>10</v>
      </c>
      <c r="F40" t="n">
        <v>4</v>
      </c>
      <c r="G40" s="2" t="n">
        <v>18</v>
      </c>
      <c r="H40" t="n">
        <v>8</v>
      </c>
      <c r="I40">
        <f>IF(F40&lt;=H40,"ATENÇÃO","OK")</f>
        <v/>
      </c>
      <c r="J40" s="2">
        <f>F40*G40</f>
        <v/>
      </c>
    </row>
    <row r="41">
      <c r="A41" s="3" t="n">
        <v>40</v>
      </c>
      <c r="B41" t="inlineStr">
        <is>
          <t>Bolinha de Queijo</t>
        </is>
      </c>
      <c r="C41" t="inlineStr">
        <is>
          <t>Porções</t>
        </is>
      </c>
      <c r="D41" t="inlineStr">
        <is>
          <t>Cozinha</t>
        </is>
      </c>
      <c r="E41" t="n">
        <v>10</v>
      </c>
      <c r="F41" t="n">
        <v>4</v>
      </c>
      <c r="G41" s="2" t="n">
        <v>29</v>
      </c>
      <c r="H41" t="n">
        <v>3</v>
      </c>
      <c r="I41">
        <f>IF(F41&lt;=H41,"ATENÇÃO","OK")</f>
        <v/>
      </c>
      <c r="J41" s="2">
        <f>F41*G41</f>
        <v/>
      </c>
    </row>
    <row r="42">
      <c r="A42" s="3" t="n">
        <v>41</v>
      </c>
      <c r="B42" t="inlineStr">
        <is>
          <t>Tilápia Frita</t>
        </is>
      </c>
      <c r="C42" t="inlineStr">
        <is>
          <t>Porções</t>
        </is>
      </c>
      <c r="D42" t="inlineStr">
        <is>
          <t>Cozinha</t>
        </is>
      </c>
      <c r="E42" t="n">
        <v>8</v>
      </c>
      <c r="F42" t="n">
        <v>3</v>
      </c>
      <c r="G42" s="2" t="n">
        <v>45</v>
      </c>
      <c r="H42" t="n">
        <v>5</v>
      </c>
      <c r="I42">
        <f>IF(F42&lt;=H42,"ATENÇÃO","OK")</f>
        <v/>
      </c>
      <c r="J42" s="2">
        <f>F42*G42</f>
        <v/>
      </c>
    </row>
    <row r="43">
      <c r="A43" s="3" t="n">
        <v>42</v>
      </c>
      <c r="B43" t="inlineStr">
        <is>
          <t>Halls Menthol</t>
        </is>
      </c>
      <c r="C43" t="inlineStr">
        <is>
          <t>Balas</t>
        </is>
      </c>
      <c r="D43" t="inlineStr">
        <is>
          <t>Unidades</t>
        </is>
      </c>
      <c r="E43" t="n">
        <v>40</v>
      </c>
      <c r="F43" t="n">
        <v>15</v>
      </c>
      <c r="G43" s="2" t="n">
        <v>2.5</v>
      </c>
      <c r="H43" t="n">
        <v>3</v>
      </c>
      <c r="I43">
        <f>IF(F43&lt;=H43,"ATENÇÃO","OK")</f>
        <v/>
      </c>
      <c r="J43" s="2">
        <f>F43*G43</f>
        <v/>
      </c>
    </row>
    <row r="44">
      <c r="A44" s="3" t="n">
        <v>43</v>
      </c>
      <c r="B44" t="inlineStr">
        <is>
          <t>Trident Hortelã</t>
        </is>
      </c>
      <c r="C44" t="inlineStr">
        <is>
          <t>Chicletes</t>
        </is>
      </c>
      <c r="D44" t="inlineStr">
        <is>
          <t>Unidades</t>
        </is>
      </c>
      <c r="E44" t="n">
        <v>80</v>
      </c>
      <c r="F44" t="n">
        <v>25</v>
      </c>
      <c r="G44" s="2" t="n">
        <v>3.99</v>
      </c>
      <c r="H44" t="n">
        <v>1</v>
      </c>
      <c r="I44">
        <f>IF(F44&lt;=H44,"ATENÇÃO","OK")</f>
        <v/>
      </c>
      <c r="J44" s="2">
        <f>F44*G44</f>
        <v/>
      </c>
    </row>
    <row r="45">
      <c r="A45" s="3" t="n">
        <v>44</v>
      </c>
      <c r="B45" t="inlineStr">
        <is>
          <t>Babalu Tutti-Frutti</t>
        </is>
      </c>
      <c r="C45" t="inlineStr">
        <is>
          <t>Chicletes</t>
        </is>
      </c>
      <c r="D45" t="inlineStr">
        <is>
          <t>Unidades</t>
        </is>
      </c>
      <c r="E45" t="n">
        <v>60</v>
      </c>
      <c r="F45" t="n">
        <v>20</v>
      </c>
      <c r="G45" s="2" t="n">
        <v>0.5</v>
      </c>
      <c r="H45" t="n">
        <v>3</v>
      </c>
      <c r="I45">
        <f>IF(F45&lt;=H45,"ATENÇÃO","OK")</f>
        <v/>
      </c>
      <c r="J45" s="2">
        <f>F45*G45</f>
        <v/>
      </c>
    </row>
    <row r="46">
      <c r="A46" s="3" t="n">
        <v>45</v>
      </c>
      <c r="B46" t="inlineStr">
        <is>
          <t>Charge</t>
        </is>
      </c>
      <c r="C46" t="inlineStr">
        <is>
          <t>Chocolates</t>
        </is>
      </c>
      <c r="D46" t="inlineStr">
        <is>
          <t>Unidades</t>
        </is>
      </c>
      <c r="E46" t="n">
        <v>18</v>
      </c>
      <c r="F46" t="n">
        <v>6</v>
      </c>
      <c r="G46" s="2" t="n">
        <v>4</v>
      </c>
      <c r="H46" t="n">
        <v>3</v>
      </c>
      <c r="I46">
        <f>IF(F46&lt;=H46,"ATENÇÃO","OK")</f>
        <v/>
      </c>
      <c r="J46" s="2">
        <f>F46*G46</f>
        <v/>
      </c>
    </row>
    <row r="47">
      <c r="A47" s="3" t="n">
        <v>46</v>
      </c>
      <c r="B47" t="inlineStr">
        <is>
          <t>Prestígio</t>
        </is>
      </c>
      <c r="C47" t="inlineStr">
        <is>
          <t>Chocolates</t>
        </is>
      </c>
      <c r="D47" t="inlineStr">
        <is>
          <t>Unidades</t>
        </is>
      </c>
      <c r="E47" t="n">
        <v>15</v>
      </c>
      <c r="F47" t="n">
        <v>5</v>
      </c>
      <c r="G47" s="2" t="n">
        <v>4</v>
      </c>
      <c r="H47" t="n">
        <v>3</v>
      </c>
      <c r="I47">
        <f>IF(F47&lt;=H47,"ATENÇÃO","OK")</f>
        <v/>
      </c>
      <c r="J47" s="2">
        <f>F47*G47</f>
        <v/>
      </c>
    </row>
    <row r="48">
      <c r="A48" s="3" t="n">
        <v>47</v>
      </c>
      <c r="B48" t="inlineStr">
        <is>
          <t>Ouro Branco</t>
        </is>
      </c>
      <c r="C48" t="inlineStr">
        <is>
          <t>Chocolates</t>
        </is>
      </c>
      <c r="D48" t="inlineStr">
        <is>
          <t>Unidades</t>
        </is>
      </c>
      <c r="E48" t="n">
        <v>16</v>
      </c>
      <c r="F48" t="n">
        <v>5</v>
      </c>
      <c r="G48" s="2" t="n">
        <v>4.5</v>
      </c>
      <c r="H48" t="n">
        <v>5</v>
      </c>
      <c r="I48">
        <f>IF(F48&lt;=H48,"ATENÇÃO","OK")</f>
        <v/>
      </c>
      <c r="J48" s="2">
        <f>F48*G48</f>
        <v/>
      </c>
    </row>
    <row r="49">
      <c r="A49" s="3" t="n">
        <v>48</v>
      </c>
      <c r="B49" t="inlineStr">
        <is>
          <t>Sonho de Valsa</t>
        </is>
      </c>
      <c r="C49" t="inlineStr">
        <is>
          <t>Chocolates</t>
        </is>
      </c>
      <c r="D49" t="inlineStr">
        <is>
          <t>Unidades</t>
        </is>
      </c>
      <c r="E49" t="n">
        <v>16</v>
      </c>
      <c r="F49" t="n">
        <v>5</v>
      </c>
      <c r="G49" s="2" t="n">
        <v>4.5</v>
      </c>
      <c r="H49" t="n">
        <v>3</v>
      </c>
      <c r="I49">
        <f>IF(F49&lt;=H49,"ATENÇÃO","OK")</f>
        <v/>
      </c>
      <c r="J49" s="2">
        <f>F49*G49</f>
        <v/>
      </c>
    </row>
    <row r="50">
      <c r="A50" s="3" t="n">
        <v>49</v>
      </c>
      <c r="B50" t="inlineStr">
        <is>
          <t>Isqueiro Bic</t>
        </is>
      </c>
      <c r="C50" t="inlineStr">
        <is>
          <t>Utilidades</t>
        </is>
      </c>
      <c r="D50" t="inlineStr">
        <is>
          <t>Acessórios</t>
        </is>
      </c>
      <c r="E50" t="n">
        <v>12</v>
      </c>
      <c r="F50" t="n">
        <v>4</v>
      </c>
      <c r="G50" s="2" t="n">
        <v>7</v>
      </c>
      <c r="H50" t="n">
        <v>5</v>
      </c>
      <c r="I50">
        <f>IF(F50&lt;=H50,"ATENÇÃO","OK")</f>
        <v/>
      </c>
      <c r="J50" s="2">
        <f>F50*G50</f>
        <v/>
      </c>
    </row>
    <row r="51">
      <c r="A51" s="3" t="n">
        <v>50</v>
      </c>
      <c r="B51" t="inlineStr">
        <is>
          <t>Carvão Vegetal 3kg</t>
        </is>
      </c>
      <c r="C51" t="inlineStr">
        <is>
          <t>Utilidades</t>
        </is>
      </c>
      <c r="D51" t="inlineStr">
        <is>
          <t>Churrasco</t>
        </is>
      </c>
      <c r="E51" t="n">
        <v>10</v>
      </c>
      <c r="F51" t="n">
        <v>3</v>
      </c>
      <c r="G51" s="2" t="n">
        <v>28</v>
      </c>
      <c r="H51" t="n">
        <v>8</v>
      </c>
      <c r="I51">
        <f>IF(F51&lt;=H51,"ATENÇÃO","OK")</f>
        <v/>
      </c>
      <c r="J51" s="2">
        <f>F51*G51</f>
        <v/>
      </c>
    </row>
  </sheetData>
  <conditionalFormatting sqref="I2:J110">
    <cfRule type="containsText" priority="4" operator="containsText" dxfId="11" text="OK">
      <formula>NOT(ISERROR(SEARCH("OK",I2)))</formula>
    </cfRule>
    <cfRule type="containsText" priority="3" operator="containsText" dxfId="10" text="ATENÇÃO">
      <formula>NOT(ISERROR(SEARCH("ATENÇÃO",I2)))</formula>
    </cfRule>
    <cfRule type="containsText" priority="2" operator="containsText" dxfId="0" text="REPOR">
      <formula>NOT(ISERROR(SEARCH("REPOR",I2)))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9" workbookViewId="0">
      <selection activeCell="E23" sqref="E23"/>
    </sheetView>
  </sheetViews>
  <sheetFormatPr baseColWidth="8" defaultRowHeight="15"/>
  <cols>
    <col width="11.140625" bestFit="1" customWidth="1" style="13" min="1" max="1"/>
    <col width="19.140625" bestFit="1" customWidth="1" style="13" min="2" max="2"/>
    <col width="7.7109375" bestFit="1" customWidth="1" style="13" min="3" max="3"/>
    <col width="13.7109375" bestFit="1" customWidth="1" style="13" min="4" max="4"/>
  </cols>
  <sheetData>
    <row r="1">
      <c r="A1" s="11" t="inlineStr">
        <is>
          <t>Data</t>
        </is>
      </c>
      <c r="B1" s="11" t="inlineStr">
        <is>
          <t>Produto</t>
        </is>
      </c>
      <c r="C1" s="11" t="inlineStr">
        <is>
          <t>Tipo</t>
        </is>
      </c>
      <c r="D1" s="11" t="inlineStr">
        <is>
          <t>Quantidade</t>
        </is>
      </c>
    </row>
    <row r="2">
      <c r="A2" s="1" t="n">
        <v>46186</v>
      </c>
      <c r="B2" t="inlineStr">
        <is>
          <t>Coca-Cola 2L</t>
        </is>
      </c>
      <c r="C2" t="inlineStr">
        <is>
          <t>Entrada</t>
        </is>
      </c>
      <c r="D2" t="n">
        <v>10</v>
      </c>
    </row>
    <row r="3">
      <c r="A3" s="1" t="n">
        <v>46186</v>
      </c>
      <c r="B3" t="inlineStr">
        <is>
          <t>Coca-Cola 2L</t>
        </is>
      </c>
      <c r="C3" t="inlineStr">
        <is>
          <t>Saída</t>
        </is>
      </c>
      <c r="D3" t="n">
        <v>2</v>
      </c>
    </row>
    <row r="4">
      <c r="A4" s="1" t="n">
        <v>46186</v>
      </c>
      <c r="B4" t="inlineStr">
        <is>
          <t>Halls</t>
        </is>
      </c>
      <c r="C4" t="inlineStr">
        <is>
          <t>Saída</t>
        </is>
      </c>
      <c r="D4" t="n">
        <v>5</v>
      </c>
    </row>
    <row r="5">
      <c r="A5" s="1" t="n">
        <v>46186</v>
      </c>
      <c r="B5" t="inlineStr">
        <is>
          <t>Trident</t>
        </is>
      </c>
      <c r="C5" t="inlineStr">
        <is>
          <t>Entrada</t>
        </is>
      </c>
      <c r="D5" t="n">
        <v>20</v>
      </c>
    </row>
    <row r="6">
      <c r="A6" s="1" t="n">
        <v>46186</v>
      </c>
      <c r="B6" t="inlineStr">
        <is>
          <t>Babalu</t>
        </is>
      </c>
      <c r="C6" t="inlineStr">
        <is>
          <t>Entrada</t>
        </is>
      </c>
      <c r="D6" t="n">
        <v>30</v>
      </c>
    </row>
    <row r="7">
      <c r="A7" s="1" t="n">
        <v>46186</v>
      </c>
      <c r="B7" t="inlineStr">
        <is>
          <t>Prestígio</t>
        </is>
      </c>
      <c r="C7" t="inlineStr">
        <is>
          <t>Entrada</t>
        </is>
      </c>
      <c r="D7" t="n">
        <v>25</v>
      </c>
    </row>
    <row r="8">
      <c r="A8" s="1" t="n">
        <v>46186</v>
      </c>
      <c r="B8" t="inlineStr">
        <is>
          <t>Charge</t>
        </is>
      </c>
      <c r="C8" t="inlineStr">
        <is>
          <t>Saída</t>
        </is>
      </c>
      <c r="D8" t="n">
        <v>17</v>
      </c>
    </row>
    <row r="9">
      <c r="A9" s="1" t="n">
        <v>46186</v>
      </c>
      <c r="B9" t="inlineStr">
        <is>
          <t>Torcida Pimenta</t>
        </is>
      </c>
      <c r="C9" t="inlineStr">
        <is>
          <t>Entrada</t>
        </is>
      </c>
      <c r="D9" t="n">
        <v>11</v>
      </c>
    </row>
    <row r="10">
      <c r="A10" s="1" t="n">
        <v>46186</v>
      </c>
      <c r="B10" t="inlineStr">
        <is>
          <t>Isqueiro</t>
        </is>
      </c>
      <c r="C10" t="inlineStr">
        <is>
          <t>Entrada</t>
        </is>
      </c>
      <c r="D10" t="n">
        <v>28</v>
      </c>
    </row>
    <row r="11">
      <c r="A11" s="1" t="n">
        <v>46186</v>
      </c>
      <c r="B11" t="inlineStr">
        <is>
          <t>Água com Gás 350ml</t>
        </is>
      </c>
      <c r="C11" t="inlineStr">
        <is>
          <t>Entrada</t>
        </is>
      </c>
      <c r="D11" t="n">
        <v>33</v>
      </c>
    </row>
    <row r="12">
      <c r="A12" s="1" t="n">
        <v>46186</v>
      </c>
      <c r="B12" t="inlineStr">
        <is>
          <t>Água Normal 350ml</t>
        </is>
      </c>
      <c r="C12" t="inlineStr">
        <is>
          <t>Saída</t>
        </is>
      </c>
      <c r="D12" t="n">
        <v>23</v>
      </c>
    </row>
    <row r="13">
      <c r="A13" s="1" t="n">
        <v>46186</v>
      </c>
      <c r="B13" t="inlineStr">
        <is>
          <t>Guaraná Lata</t>
        </is>
      </c>
      <c r="C13" t="inlineStr">
        <is>
          <t>Saída</t>
        </is>
      </c>
      <c r="D13" t="n">
        <v>14</v>
      </c>
    </row>
    <row r="14">
      <c r="A14" s="1" t="n">
        <v>46186</v>
      </c>
      <c r="B14" t="inlineStr">
        <is>
          <t>Coca-Cola 2L</t>
        </is>
      </c>
      <c r="C14" t="inlineStr">
        <is>
          <t>Saída</t>
        </is>
      </c>
      <c r="D14" t="n">
        <v>6</v>
      </c>
    </row>
    <row r="15">
      <c r="A15" s="1" t="n">
        <v>46186</v>
      </c>
      <c r="B15" t="inlineStr">
        <is>
          <t>Isqueiro</t>
        </is>
      </c>
      <c r="C15" t="inlineStr">
        <is>
          <t>Entrada</t>
        </is>
      </c>
      <c r="D15" t="n">
        <v>10</v>
      </c>
    </row>
    <row r="16">
      <c r="A16" s="1" t="n">
        <v>46187</v>
      </c>
      <c r="B16" t="inlineStr">
        <is>
          <t>Cebolinha</t>
        </is>
      </c>
      <c r="C16" t="inlineStr">
        <is>
          <t>entrada</t>
        </is>
      </c>
      <c r="D16" t="n">
        <v>10</v>
      </c>
    </row>
    <row r="17">
      <c r="A17" s="1" t="n">
        <v>46188</v>
      </c>
      <c r="B17" t="inlineStr">
        <is>
          <t>Halls</t>
        </is>
      </c>
      <c r="C17" t="inlineStr">
        <is>
          <t>Entrada</t>
        </is>
      </c>
      <c r="D17" t="n">
        <v>10</v>
      </c>
    </row>
    <row r="18">
      <c r="A18" s="1" t="n">
        <v>46188</v>
      </c>
      <c r="B18" t="inlineStr">
        <is>
          <t>Coca-Cola 2L</t>
        </is>
      </c>
      <c r="C18" t="inlineStr">
        <is>
          <t>Saída</t>
        </is>
      </c>
      <c r="D18" t="n">
        <v>1</v>
      </c>
    </row>
    <row r="19">
      <c r="A19" s="1" t="n">
        <v>46191</v>
      </c>
      <c r="B19" t="inlineStr">
        <is>
          <t>Halls</t>
        </is>
      </c>
      <c r="C19" t="inlineStr">
        <is>
          <t>Saída</t>
        </is>
      </c>
      <c r="D19" t="n">
        <v>6</v>
      </c>
    </row>
    <row r="20">
      <c r="A20" s="1" t="n">
        <v>46202</v>
      </c>
      <c r="B20" t="inlineStr">
        <is>
          <t>Charge</t>
        </is>
      </c>
      <c r="C20" t="inlineStr">
        <is>
          <t>Entrada</t>
        </is>
      </c>
      <c r="D20" t="n">
        <v>10</v>
      </c>
    </row>
    <row r="21">
      <c r="A21" s="1" t="n">
        <v>46202</v>
      </c>
      <c r="B21" t="inlineStr">
        <is>
          <t>Charge</t>
        </is>
      </c>
      <c r="C21" t="inlineStr">
        <is>
          <t>Saída</t>
        </is>
      </c>
      <c r="D21" t="n">
        <v>10</v>
      </c>
    </row>
    <row r="22">
      <c r="A22" s="1" t="n">
        <v>46202</v>
      </c>
      <c r="B22" t="inlineStr">
        <is>
          <t>Doritos</t>
        </is>
      </c>
      <c r="C22" t="inlineStr">
        <is>
          <t>saída</t>
        </is>
      </c>
      <c r="D22" t="n">
        <v>3</v>
      </c>
    </row>
    <row r="29">
      <c r="D29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15" sqref="B15"/>
    </sheetView>
  </sheetViews>
  <sheetFormatPr baseColWidth="8" defaultRowHeight="15"/>
  <cols>
    <col width="25.28515625" bestFit="1" customWidth="1" style="13" min="1" max="1"/>
    <col width="15.42578125" bestFit="1" customWidth="1" style="13" min="2" max="2"/>
  </cols>
  <sheetData>
    <row r="1" ht="23.25" customHeight="1" s="13">
      <c r="A1" s="14" t="inlineStr">
        <is>
          <t>DASHBOARD DE ESTOQUE</t>
        </is>
      </c>
    </row>
    <row r="2" ht="15.75" customHeight="1" s="13">
      <c r="A2" s="4" t="inlineStr">
        <is>
          <t>Total de Produtos</t>
        </is>
      </c>
      <c r="B2" s="5">
        <f>COUNTA(Produtos!B:B)-1</f>
        <v/>
      </c>
    </row>
    <row r="3" ht="15.75" customHeight="1" s="13">
      <c r="A3" s="4" t="inlineStr">
        <is>
          <t>Produtos em Alerta</t>
        </is>
      </c>
      <c r="B3" s="5">
        <f>COUNTIF(Produtos!I:I,"ATENÇÃO")</f>
        <v/>
      </c>
    </row>
    <row r="4" ht="15.75" customHeight="1" s="13">
      <c r="A4" s="4" t="inlineStr">
        <is>
          <t>Valor Total do Estoque</t>
        </is>
      </c>
      <c r="B4" s="6">
        <f>SUMPRODUCT(Produtos!F2:F178,Produtos!G2:G178)</f>
        <v/>
      </c>
    </row>
    <row r="5" ht="15.75" customHeight="1" s="13">
      <c r="A5" s="4" t="inlineStr">
        <is>
          <t>Movimentações Registradas</t>
        </is>
      </c>
      <c r="B5" s="5">
        <f>COUNTA(Movimentação!A:A)-1</f>
        <v/>
      </c>
    </row>
  </sheetData>
  <mergeCells count="1">
    <mergeCell ref="A1:B1"/>
  </mergeCells>
  <conditionalFormatting sqref="B3">
    <cfRule type="cellIs" priority="1" operator="greaterThan" dxfId="0" stopIfTrue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2026-06-01T23:49:18Z</dcterms:created>
  <dcterms:modified xmlns:dcterms="http://purl.org/dc/terms/" xmlns:xsi="http://www.w3.org/2001/XMLSchema-instance" xsi:type="dcterms:W3CDTF">2026-07-03T01:12:23Z</dcterms:modified>
  <cp:lastModifiedBy>Marcos Vinícius</cp:lastModifiedBy>
</cp:coreProperties>
</file>